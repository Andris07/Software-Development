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énzügyi tanácsadók" sheetId="1" r:id="rId5"/>
  </sheets>
  <definedNames/>
  <calcPr/>
</workbook>
</file>

<file path=xl/sharedStrings.xml><?xml version="1.0" encoding="utf-8"?>
<sst xmlns="http://schemas.openxmlformats.org/spreadsheetml/2006/main" count="33" uniqueCount="33">
  <si>
    <t>Konzolos asztali alkalmazásfejlesztés</t>
  </si>
  <si>
    <t>Konzolos alkalmazást készített Tanacsado néven, a programkód szintaktikailag hibátlan, nem tartalmaz fordítási és futtatási hibát, és legalább 3 feladathoz tartozó kódot tartalmaz.</t>
  </si>
  <si>
    <t>Az összes szükséges osztályt elkészíti</t>
  </si>
  <si>
    <t>Beolvassa és eltárolja az osztályokhoz tartozó adatokat.</t>
  </si>
  <si>
    <t>Létrehozza a táblák közötti kapcsolatot biztosító osztályt, vagy megfelelően használja a programkódban az osztályok összekapcsolását.</t>
  </si>
  <si>
    <t>Készít egy metódust, amely az óradíjból és az időtartamból kiszámolja, hogy mennyibe került egy találkozó ára, és az eredményt egész számként adja vissza.</t>
  </si>
  <si>
    <t>Megjeleníti, hogy hány olyan találkozó van tárolva, ahol a találkozó időtartama legalább 3 órát vett igénybe.</t>
  </si>
  <si>
    <t xml:space="preserve">Beolvassa egy tanácsadó nevét, és megadja az elérhetőségeit. </t>
  </si>
  <si>
    <t>A keresést nem folytatja, amennyiben az adatokat már megtalálta, hatékony keresést használ.</t>
  </si>
  <si>
    <t>Ha a tanácsadó nem található az adatok között, akkor tájékoztató szöveget ír ki.</t>
  </si>
  <si>
    <t>Meghatározza egy tanácsadó bevételét.</t>
  </si>
  <si>
    <t>A tanácsadó bevételének meghatározásához felhasználja a megírt metódust.</t>
  </si>
  <si>
    <t>Meghatározza az összes tanácsadó bevételét.</t>
  </si>
  <si>
    <t>A kiszámolt bevételeket csökkenő sorrendbe teszi, vagy meghatározza a 3 legnagyobb bevételt.</t>
  </si>
  <si>
    <t>A 3 legnagyobb bevételt csökkenő sorrendben jeleníti meg.</t>
  </si>
  <si>
    <t>Legalább 1 kiírást is tartalmazó feladatot elkészít, és az összes elvégzett feladatához a kiírás a mintának megfelelő.</t>
  </si>
  <si>
    <t>Grafikus asztali alkalmazásfejlesztés</t>
  </si>
  <si>
    <t>Grafikus alkalmazást készített TanacsadoGUI néven, a programkód szintaktikailag hibátlan, lefordítható, nem tartalmaz fordítási és futtatási hibát. A projekt a konzolos alkalmazással azonos solution-ba került, és a codebehind tartalmaz a vizsgázó által készített kódot.</t>
  </si>
  <si>
    <t>A felhasználói felület reszponzív, és rajta minden szükséges komponens a mintának és a leírásnak megfelelő típussal megtalálható.</t>
  </si>
  <si>
    <t>A felhasználói felület kialakítása és a megjelenített szövegek a mintával megegyeznek.</t>
  </si>
  <si>
    <t>Létrehozza vagy felhasználja a konzolos alkalmazásból a szükséges osztályokat.</t>
  </si>
  <si>
    <t>A forrásállományokból az adatokat feltölti, vagy csatlakozik a konzolos alkalmazás adatbázisához.</t>
  </si>
  <si>
    <t>A listába betölti a szakterületet, minden szakterületet egyszer jelenít meg.</t>
  </si>
  <si>
    <t>A szakterület kiválasztása után betöltődnek a szakterülethez tartozó tanácsadók a megfelelő lenyíló listába, minden tanácsadó neve egyszer jelenik meg.</t>
  </si>
  <si>
    <t>A szakterület és a tanácsadó listában az adatok névsorrendben jelennek meg.</t>
  </si>
  <si>
    <t>A tanácsadó kiválasztása után megjelennek a tanácsadó adatai.</t>
  </si>
  <si>
    <t>Figyel arra, hogy új tanácsadó kiválasztásakor az adat frissüljön, a szakterület megváltoztatásánál a tanácsadók frissüljenek, az előző tanácsadóhoz megjelenített adatok ne jelenjenek meg.</t>
  </si>
  <si>
    <t>Összesen</t>
  </si>
  <si>
    <t>Konzol százalék</t>
  </si>
  <si>
    <t>GUI százalék</t>
  </si>
  <si>
    <t>Összes százalék</t>
  </si>
  <si>
    <t>Jegy</t>
  </si>
  <si>
    <t>Hivatalos vizsga határokkal megy a pontozás: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</si>
</sst>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pont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70C0"/>
        <bgColor rgb="FF007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textRotation="90" vertical="bottom"/>
    </xf>
    <xf borderId="1" fillId="2" fontId="1" numFmtId="0" xfId="0" applyAlignment="1" applyBorder="1" applyFill="1" applyFont="1">
      <alignment horizontal="center" readingOrder="0" textRotation="90"/>
    </xf>
    <xf borderId="1" fillId="3" fontId="3" numFmtId="0" xfId="0" applyAlignment="1" applyBorder="1" applyFill="1" applyFont="1">
      <alignment shrinkToFit="0" vertical="bottom" wrapText="1"/>
    </xf>
    <xf borderId="2" fillId="3" fontId="3" numFmtId="164" xfId="0" applyAlignment="1" applyBorder="1" applyFill="1" applyFont="1" applyNumberFormat="1">
      <alignment horizontal="right"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4" fillId="0" fontId="4" numFmtId="164" xfId="0" applyAlignment="1" applyBorder="1" applyFont="1" applyNumberFormat="1">
      <alignment horizontal="right"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3" fillId="0" fontId="4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bottom" wrapText="1"/>
    </xf>
    <xf borderId="3" fillId="3" fontId="3" numFmtId="0" xfId="0" applyAlignment="1" applyBorder="1" applyFill="1" applyFont="1">
      <alignment shrinkToFit="0" vertical="bottom" wrapText="1"/>
    </xf>
    <xf borderId="4" fillId="3" fontId="3" numFmtId="164" xfId="0" applyAlignment="1" applyBorder="1" applyFill="1" applyFont="1" applyNumberFormat="1">
      <alignment horizontal="right" shrinkToFit="0" vertical="bottom" wrapText="1"/>
    </xf>
    <xf borderId="1" fillId="3" fontId="3" numFmtId="164" xfId="0" applyAlignment="1" applyBorder="1" applyFill="1" applyFont="1" applyNumberFormat="1">
      <alignment horizontal="right" shrinkToFit="0" vertical="bottom" wrapText="1"/>
    </xf>
    <xf borderId="3" fillId="3" fontId="3" numFmtId="0" xfId="0" applyAlignment="1" applyBorder="1" applyFill="1" applyFont="1">
      <alignment shrinkToFit="0" vertical="bottom" wrapText="1"/>
    </xf>
    <xf borderId="3" fillId="3" fontId="3" numFmtId="164" xfId="0" applyAlignment="1" applyBorder="1" applyFill="1" applyFont="1" applyNumberFormat="1">
      <alignment shrinkToFit="0" vertical="bottom" wrapText="1"/>
    </xf>
    <xf borderId="1" fillId="3" fontId="3" numFmtId="164" xfId="0" applyAlignment="1" applyBorder="1" applyFill="1" applyFont="1" applyNumberFormat="1">
      <alignment shrinkToFit="0" vertical="bottom" wrapText="1"/>
    </xf>
    <xf borderId="3" fillId="3" fontId="3" numFmtId="0" xfId="0" applyAlignment="1" applyBorder="1" applyFill="1" applyFont="1">
      <alignment readingOrder="0" shrinkToFit="0" vertical="bottom" wrapText="1"/>
    </xf>
    <xf borderId="3" fillId="3" fontId="3" numFmtId="9" xfId="0" applyAlignment="1" applyBorder="1" applyFill="1" applyFont="1" applyNumberFormat="1">
      <alignment shrinkToFit="0" vertical="bottom" wrapText="1"/>
    </xf>
    <xf borderId="1" fillId="3" fontId="3" numFmtId="9" xfId="0" applyAlignment="1" applyBorder="1" applyFill="1" applyFont="1" applyNumberFormat="1">
      <alignment shrinkToFit="0" vertical="bottom" wrapText="1"/>
    </xf>
    <xf borderId="3" fillId="3" fontId="3" numFmtId="9" xfId="0" applyAlignment="1" applyBorder="1" applyFill="1" applyFont="1" applyNumberFormat="1">
      <alignment readingOrder="0" shrinkToFit="0" vertical="bottom" wrapText="1"/>
    </xf>
    <xf borderId="1" fillId="3" fontId="3" numFmtId="9" xfId="0" applyAlignment="1" applyBorder="1" applyFill="1" applyFont="1" applyNumberFormat="1">
      <alignment readingOrder="0" shrinkToFit="0" vertical="bottom" wrapText="1"/>
    </xf>
    <xf borderId="1" fillId="3" fontId="3" numFmtId="0" xfId="0" applyAlignment="1" applyBorder="1" applyFill="1" applyFont="1">
      <alignment readingOrder="0" shrinkToFit="0" vertical="bottom" wrapText="1"/>
    </xf>
    <xf borderId="0" fillId="0" fontId="2" numFmtId="0" xfId="0" applyFont="1"/>
    <xf borderId="1" fillId="0" fontId="2" numFmtId="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5.63"/>
    <col customWidth="1" min="2" max="2" width="12.63"/>
    <col customWidth="1" min="3" max="16" width="7.75"/>
  </cols>
  <sheetData>
    <row r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4" t="s">
        <v>0</v>
      </c>
      <c r="B2" s="5">
        <f t="shared" ref="B2:P2" si="1">SUM(B3:B17)</f>
        <v>15</v>
      </c>
      <c r="C2" s="5">
        <f t="shared" si="1"/>
        <v>0</v>
      </c>
      <c r="D2" s="5">
        <f t="shared" si="1"/>
        <v>0</v>
      </c>
      <c r="E2" s="5">
        <f t="shared" si="1"/>
        <v>0</v>
      </c>
      <c r="F2" s="5">
        <f t="shared" si="1"/>
        <v>0</v>
      </c>
      <c r="G2" s="5">
        <f t="shared" si="1"/>
        <v>0</v>
      </c>
      <c r="H2" s="5">
        <f t="shared" si="1"/>
        <v>0</v>
      </c>
      <c r="I2" s="5">
        <f t="shared" si="1"/>
        <v>0</v>
      </c>
      <c r="J2" s="5">
        <f t="shared" si="1"/>
        <v>0</v>
      </c>
      <c r="K2" s="5">
        <f t="shared" si="1"/>
        <v>0</v>
      </c>
      <c r="L2" s="5">
        <f t="shared" si="1"/>
        <v>0</v>
      </c>
      <c r="M2" s="5">
        <f t="shared" si="1"/>
        <v>0</v>
      </c>
      <c r="N2" s="5">
        <f t="shared" si="1"/>
        <v>0</v>
      </c>
      <c r="O2" s="5">
        <f t="shared" si="1"/>
        <v>0</v>
      </c>
      <c r="P2" s="5">
        <f t="shared" si="1"/>
        <v>0</v>
      </c>
    </row>
    <row r="3">
      <c r="A3" s="6" t="s">
        <v>1</v>
      </c>
      <c r="B3" s="7">
        <v>1.0</v>
      </c>
      <c r="C3" s="8"/>
      <c r="D3" s="8"/>
      <c r="E3" s="8"/>
      <c r="F3" s="8"/>
      <c r="G3" s="8"/>
      <c r="H3" s="9"/>
      <c r="I3" s="8"/>
      <c r="J3" s="9"/>
      <c r="K3" s="8"/>
      <c r="L3" s="9"/>
      <c r="M3" s="9"/>
      <c r="N3" s="8"/>
      <c r="O3" s="8"/>
      <c r="P3" s="8"/>
    </row>
    <row r="4">
      <c r="A4" s="10" t="s">
        <v>2</v>
      </c>
      <c r="B4" s="7">
        <v>1.0</v>
      </c>
      <c r="C4" s="8"/>
      <c r="D4" s="8"/>
      <c r="E4" s="8"/>
      <c r="F4" s="8"/>
      <c r="G4" s="8"/>
      <c r="H4" s="9"/>
      <c r="I4" s="8"/>
      <c r="J4" s="9"/>
      <c r="K4" s="8"/>
      <c r="L4" s="9"/>
      <c r="M4" s="9"/>
      <c r="N4" s="8"/>
      <c r="O4" s="8"/>
      <c r="P4" s="8"/>
    </row>
    <row r="5">
      <c r="A5" s="11" t="s">
        <v>3</v>
      </c>
      <c r="B5" s="12">
        <v>1.0</v>
      </c>
      <c r="C5" s="8"/>
      <c r="D5" s="8"/>
      <c r="E5" s="8"/>
      <c r="F5" s="8"/>
      <c r="G5" s="8"/>
      <c r="H5" s="9"/>
      <c r="I5" s="8"/>
      <c r="J5" s="9"/>
      <c r="K5" s="8"/>
      <c r="L5" s="9"/>
      <c r="M5" s="9"/>
      <c r="N5" s="8"/>
      <c r="O5" s="8"/>
      <c r="P5" s="8"/>
    </row>
    <row r="6">
      <c r="A6" s="13" t="s">
        <v>4</v>
      </c>
      <c r="B6" s="12">
        <v>1.0</v>
      </c>
      <c r="C6" s="8"/>
      <c r="D6" s="8"/>
      <c r="E6" s="8"/>
      <c r="F6" s="8"/>
      <c r="G6" s="8"/>
      <c r="H6" s="9"/>
      <c r="I6" s="8"/>
      <c r="J6" s="9"/>
      <c r="K6" s="8"/>
      <c r="L6" s="9"/>
      <c r="M6" s="9"/>
      <c r="N6" s="8"/>
      <c r="O6" s="8"/>
      <c r="P6" s="8"/>
    </row>
    <row r="7">
      <c r="A7" s="6" t="s">
        <v>5</v>
      </c>
      <c r="B7" s="7">
        <v>1.0</v>
      </c>
      <c r="C7" s="8"/>
      <c r="D7" s="8"/>
      <c r="E7" s="8"/>
      <c r="F7" s="8"/>
      <c r="G7" s="8"/>
      <c r="H7" s="9"/>
      <c r="I7" s="8"/>
      <c r="J7" s="9"/>
      <c r="K7" s="8"/>
      <c r="L7" s="9"/>
      <c r="M7" s="9"/>
      <c r="N7" s="8"/>
      <c r="O7" s="8"/>
      <c r="P7" s="8"/>
    </row>
    <row r="8">
      <c r="A8" s="6" t="s">
        <v>6</v>
      </c>
      <c r="B8" s="7">
        <v>1.0</v>
      </c>
      <c r="C8" s="8"/>
      <c r="D8" s="8"/>
      <c r="E8" s="8"/>
      <c r="F8" s="8"/>
      <c r="G8" s="8"/>
      <c r="H8" s="9"/>
      <c r="I8" s="8"/>
      <c r="J8" s="9"/>
      <c r="K8" s="8"/>
      <c r="L8" s="9"/>
      <c r="M8" s="9"/>
      <c r="N8" s="8"/>
      <c r="O8" s="8"/>
      <c r="P8" s="8"/>
    </row>
    <row r="9">
      <c r="A9" s="6" t="s">
        <v>7</v>
      </c>
      <c r="B9" s="7">
        <v>1.0</v>
      </c>
      <c r="C9" s="8"/>
      <c r="D9" s="8"/>
      <c r="E9" s="8"/>
      <c r="F9" s="8"/>
      <c r="G9" s="8"/>
      <c r="H9" s="9"/>
      <c r="I9" s="8"/>
      <c r="J9" s="9"/>
      <c r="K9" s="8"/>
      <c r="L9" s="9"/>
      <c r="M9" s="9"/>
      <c r="N9" s="8"/>
      <c r="O9" s="8"/>
      <c r="P9" s="8"/>
    </row>
    <row r="10">
      <c r="A10" s="10" t="s">
        <v>8</v>
      </c>
      <c r="B10" s="7">
        <v>1.0</v>
      </c>
      <c r="C10" s="8"/>
      <c r="D10" s="8"/>
      <c r="E10" s="8"/>
      <c r="F10" s="8"/>
      <c r="G10" s="8"/>
      <c r="H10" s="9"/>
      <c r="I10" s="8"/>
      <c r="J10" s="9"/>
      <c r="K10" s="8"/>
      <c r="L10" s="9"/>
      <c r="M10" s="9"/>
      <c r="N10" s="8"/>
      <c r="O10" s="8"/>
      <c r="P10" s="8"/>
    </row>
    <row r="11">
      <c r="A11" s="6" t="s">
        <v>9</v>
      </c>
      <c r="B11" s="7">
        <v>1.0</v>
      </c>
      <c r="C11" s="8"/>
      <c r="D11" s="8"/>
      <c r="E11" s="8"/>
      <c r="F11" s="8"/>
      <c r="G11" s="8"/>
      <c r="H11" s="9"/>
      <c r="I11" s="8"/>
      <c r="J11" s="9"/>
      <c r="K11" s="8"/>
      <c r="L11" s="9"/>
      <c r="M11" s="9"/>
      <c r="N11" s="8"/>
      <c r="O11" s="8"/>
      <c r="P11" s="8"/>
    </row>
    <row r="12">
      <c r="A12" s="6" t="s">
        <v>10</v>
      </c>
      <c r="B12" s="7">
        <v>1.0</v>
      </c>
      <c r="C12" s="8"/>
      <c r="D12" s="8"/>
      <c r="E12" s="8"/>
      <c r="F12" s="8"/>
      <c r="G12" s="8"/>
      <c r="H12" s="9"/>
      <c r="I12" s="8"/>
      <c r="J12" s="9"/>
      <c r="K12" s="8"/>
      <c r="L12" s="9"/>
      <c r="M12" s="9"/>
      <c r="N12" s="8"/>
      <c r="O12" s="8"/>
      <c r="P12" s="8"/>
    </row>
    <row r="13">
      <c r="A13" s="6" t="s">
        <v>11</v>
      </c>
      <c r="B13" s="7">
        <v>1.0</v>
      </c>
      <c r="C13" s="8"/>
      <c r="D13" s="8"/>
      <c r="E13" s="8"/>
      <c r="F13" s="8"/>
      <c r="G13" s="8"/>
      <c r="H13" s="9"/>
      <c r="I13" s="8"/>
      <c r="J13" s="9"/>
      <c r="K13" s="8"/>
      <c r="L13" s="9"/>
      <c r="M13" s="9"/>
      <c r="N13" s="8"/>
      <c r="O13" s="8"/>
      <c r="P13" s="8"/>
    </row>
    <row r="14">
      <c r="A14" s="6" t="s">
        <v>12</v>
      </c>
      <c r="B14" s="7">
        <v>1.0</v>
      </c>
      <c r="C14" s="8"/>
      <c r="D14" s="8"/>
      <c r="E14" s="8"/>
      <c r="F14" s="8"/>
      <c r="G14" s="8"/>
      <c r="H14" s="9"/>
      <c r="I14" s="8"/>
      <c r="J14" s="9"/>
      <c r="K14" s="8"/>
      <c r="L14" s="9"/>
      <c r="M14" s="9"/>
      <c r="N14" s="8"/>
      <c r="O14" s="8"/>
      <c r="P14" s="8"/>
    </row>
    <row r="15">
      <c r="A15" s="6" t="s">
        <v>13</v>
      </c>
      <c r="B15" s="7">
        <v>1.0</v>
      </c>
      <c r="C15" s="8"/>
      <c r="D15" s="8"/>
      <c r="E15" s="8"/>
      <c r="F15" s="8"/>
      <c r="G15" s="8"/>
      <c r="H15" s="9"/>
      <c r="I15" s="8"/>
      <c r="J15" s="9"/>
      <c r="K15" s="8"/>
      <c r="L15" s="9"/>
      <c r="M15" s="9"/>
      <c r="N15" s="8"/>
      <c r="O15" s="8"/>
      <c r="P15" s="8"/>
    </row>
    <row r="16">
      <c r="A16" s="6" t="s">
        <v>14</v>
      </c>
      <c r="B16" s="7">
        <v>1.0</v>
      </c>
      <c r="C16" s="8"/>
      <c r="D16" s="8"/>
      <c r="E16" s="8"/>
      <c r="F16" s="8"/>
      <c r="G16" s="8"/>
      <c r="H16" s="9"/>
      <c r="I16" s="8"/>
      <c r="J16" s="9"/>
      <c r="K16" s="8"/>
      <c r="L16" s="9"/>
      <c r="M16" s="9"/>
      <c r="N16" s="8"/>
      <c r="O16" s="8"/>
      <c r="P16" s="8"/>
    </row>
    <row r="17">
      <c r="A17" s="10" t="s">
        <v>15</v>
      </c>
      <c r="B17" s="7">
        <v>1.0</v>
      </c>
      <c r="C17" s="8"/>
      <c r="D17" s="8"/>
      <c r="E17" s="8"/>
      <c r="F17" s="8"/>
      <c r="G17" s="8"/>
      <c r="H17" s="9"/>
      <c r="I17" s="8"/>
      <c r="J17" s="9"/>
      <c r="K17" s="8"/>
      <c r="L17" s="9"/>
      <c r="M17" s="9"/>
      <c r="N17" s="8"/>
      <c r="O17" s="8"/>
      <c r="P17" s="8"/>
    </row>
    <row r="18">
      <c r="A18" s="14" t="s">
        <v>16</v>
      </c>
      <c r="B18" s="15">
        <f t="shared" ref="B18:P18" si="2">SUM(B19:B28)</f>
        <v>10</v>
      </c>
      <c r="C18" s="15">
        <f t="shared" si="2"/>
        <v>0</v>
      </c>
      <c r="D18" s="15">
        <f t="shared" si="2"/>
        <v>0</v>
      </c>
      <c r="E18" s="15">
        <f t="shared" si="2"/>
        <v>0</v>
      </c>
      <c r="F18" s="15">
        <f t="shared" si="2"/>
        <v>0</v>
      </c>
      <c r="G18" s="15">
        <f t="shared" si="2"/>
        <v>0</v>
      </c>
      <c r="H18" s="15">
        <f t="shared" si="2"/>
        <v>0</v>
      </c>
      <c r="I18" s="15">
        <f t="shared" si="2"/>
        <v>0</v>
      </c>
      <c r="J18" s="16">
        <f t="shared" si="2"/>
        <v>0</v>
      </c>
      <c r="K18" s="16">
        <f t="shared" si="2"/>
        <v>0</v>
      </c>
      <c r="L18" s="16">
        <f t="shared" si="2"/>
        <v>0</v>
      </c>
      <c r="M18" s="16">
        <f t="shared" si="2"/>
        <v>0</v>
      </c>
      <c r="N18" s="16">
        <f t="shared" si="2"/>
        <v>0</v>
      </c>
      <c r="O18" s="16">
        <f t="shared" si="2"/>
        <v>0</v>
      </c>
      <c r="P18" s="16">
        <f t="shared" si="2"/>
        <v>0</v>
      </c>
    </row>
    <row r="19">
      <c r="A19" s="6" t="s">
        <v>17</v>
      </c>
      <c r="B19" s="7">
        <v>1.0</v>
      </c>
      <c r="C19" s="8"/>
      <c r="D19" s="8"/>
      <c r="E19" s="8"/>
      <c r="F19" s="8"/>
      <c r="G19" s="8"/>
      <c r="H19" s="9"/>
      <c r="I19" s="8"/>
      <c r="J19" s="9"/>
      <c r="K19" s="8"/>
      <c r="L19" s="9"/>
      <c r="M19" s="9"/>
      <c r="N19" s="8"/>
      <c r="O19" s="8"/>
      <c r="P19" s="8"/>
    </row>
    <row r="20">
      <c r="A20" s="10" t="s">
        <v>18</v>
      </c>
      <c r="B20" s="7">
        <v>1.0</v>
      </c>
      <c r="C20" s="8"/>
      <c r="D20" s="8"/>
      <c r="E20" s="8"/>
      <c r="F20" s="8"/>
      <c r="G20" s="8"/>
      <c r="H20" s="9"/>
      <c r="I20" s="8"/>
      <c r="J20" s="9"/>
      <c r="K20" s="8"/>
      <c r="L20" s="9"/>
      <c r="M20" s="9"/>
      <c r="N20" s="8"/>
      <c r="O20" s="8"/>
      <c r="P20" s="8"/>
    </row>
    <row r="21">
      <c r="A21" s="10" t="s">
        <v>19</v>
      </c>
      <c r="B21" s="7">
        <v>1.0</v>
      </c>
      <c r="C21" s="8"/>
      <c r="D21" s="8"/>
      <c r="E21" s="8"/>
      <c r="F21" s="8"/>
      <c r="G21" s="8"/>
      <c r="H21" s="9"/>
      <c r="I21" s="8"/>
      <c r="J21" s="9"/>
      <c r="K21" s="8"/>
      <c r="L21" s="9"/>
      <c r="M21" s="9"/>
      <c r="N21" s="8"/>
      <c r="O21" s="8"/>
      <c r="P21" s="8"/>
    </row>
    <row r="22">
      <c r="A22" s="6" t="s">
        <v>20</v>
      </c>
      <c r="B22" s="7">
        <v>1.0</v>
      </c>
      <c r="C22" s="8"/>
      <c r="D22" s="8"/>
      <c r="E22" s="8"/>
      <c r="F22" s="8"/>
      <c r="G22" s="8"/>
      <c r="H22" s="9"/>
      <c r="I22" s="8"/>
      <c r="J22" s="9"/>
      <c r="K22" s="8"/>
      <c r="L22" s="9"/>
      <c r="M22" s="9"/>
      <c r="N22" s="8"/>
      <c r="O22" s="8"/>
      <c r="P22" s="8"/>
    </row>
    <row r="23">
      <c r="A23" s="10" t="s">
        <v>21</v>
      </c>
      <c r="B23" s="7">
        <v>1.0</v>
      </c>
      <c r="C23" s="8"/>
      <c r="D23" s="8"/>
      <c r="E23" s="8"/>
      <c r="F23" s="8"/>
      <c r="G23" s="8"/>
      <c r="H23" s="9"/>
      <c r="I23" s="8"/>
      <c r="J23" s="9"/>
      <c r="K23" s="8"/>
      <c r="L23" s="9"/>
      <c r="M23" s="9"/>
      <c r="N23" s="8"/>
      <c r="O23" s="8"/>
      <c r="P23" s="8"/>
    </row>
    <row r="24">
      <c r="A24" s="6" t="s">
        <v>22</v>
      </c>
      <c r="B24" s="7">
        <v>1.0</v>
      </c>
      <c r="C24" s="8"/>
      <c r="D24" s="8"/>
      <c r="E24" s="8"/>
      <c r="F24" s="8"/>
      <c r="G24" s="8"/>
      <c r="H24" s="9"/>
      <c r="I24" s="8"/>
      <c r="J24" s="9"/>
      <c r="K24" s="8"/>
      <c r="L24" s="9"/>
      <c r="M24" s="9"/>
      <c r="N24" s="8"/>
      <c r="O24" s="8"/>
      <c r="P24" s="8"/>
    </row>
    <row r="25">
      <c r="A25" s="6" t="s">
        <v>23</v>
      </c>
      <c r="B25" s="7">
        <v>1.0</v>
      </c>
      <c r="C25" s="8"/>
      <c r="D25" s="8"/>
      <c r="E25" s="8"/>
      <c r="F25" s="8"/>
      <c r="G25" s="8"/>
      <c r="H25" s="9"/>
      <c r="I25" s="8"/>
      <c r="J25" s="9"/>
      <c r="K25" s="8"/>
      <c r="L25" s="9"/>
      <c r="M25" s="9"/>
      <c r="N25" s="8"/>
      <c r="O25" s="8"/>
      <c r="P25" s="8"/>
    </row>
    <row r="26">
      <c r="A26" s="6" t="s">
        <v>24</v>
      </c>
      <c r="B26" s="7">
        <v>1.0</v>
      </c>
      <c r="C26" s="8"/>
      <c r="D26" s="8"/>
      <c r="E26" s="8"/>
      <c r="F26" s="8"/>
      <c r="G26" s="8"/>
      <c r="H26" s="9"/>
      <c r="I26" s="8"/>
      <c r="J26" s="9"/>
      <c r="K26" s="8"/>
      <c r="L26" s="9"/>
      <c r="M26" s="9"/>
      <c r="N26" s="8"/>
      <c r="O26" s="8"/>
      <c r="P26" s="8"/>
    </row>
    <row r="27">
      <c r="A27" s="6" t="s">
        <v>25</v>
      </c>
      <c r="B27" s="7">
        <v>1.0</v>
      </c>
      <c r="C27" s="8"/>
      <c r="D27" s="8"/>
      <c r="E27" s="8"/>
      <c r="F27" s="8"/>
      <c r="G27" s="8"/>
      <c r="H27" s="9"/>
      <c r="I27" s="8"/>
      <c r="J27" s="9"/>
      <c r="K27" s="8"/>
      <c r="L27" s="9"/>
      <c r="M27" s="9"/>
      <c r="N27" s="8"/>
      <c r="O27" s="8"/>
      <c r="P27" s="8"/>
    </row>
    <row r="28">
      <c r="A28" s="6" t="s">
        <v>26</v>
      </c>
      <c r="B28" s="7">
        <v>1.0</v>
      </c>
      <c r="C28" s="8"/>
      <c r="D28" s="8"/>
      <c r="E28" s="8"/>
      <c r="F28" s="8"/>
      <c r="G28" s="8"/>
      <c r="H28" s="9"/>
      <c r="I28" s="8"/>
      <c r="J28" s="9"/>
      <c r="K28" s="8"/>
      <c r="L28" s="9"/>
      <c r="M28" s="9"/>
      <c r="N28" s="8"/>
      <c r="O28" s="8"/>
      <c r="P28" s="8"/>
    </row>
    <row r="29">
      <c r="A29" s="17" t="s">
        <v>27</v>
      </c>
      <c r="B29" s="18">
        <f t="shared" ref="B29:P29" si="3">B2+B18</f>
        <v>25</v>
      </c>
      <c r="C29" s="18">
        <f t="shared" si="3"/>
        <v>0</v>
      </c>
      <c r="D29" s="18">
        <f t="shared" si="3"/>
        <v>0</v>
      </c>
      <c r="E29" s="18">
        <f t="shared" si="3"/>
        <v>0</v>
      </c>
      <c r="F29" s="18">
        <f t="shared" si="3"/>
        <v>0</v>
      </c>
      <c r="G29" s="18">
        <f t="shared" si="3"/>
        <v>0</v>
      </c>
      <c r="H29" s="18">
        <f t="shared" si="3"/>
        <v>0</v>
      </c>
      <c r="I29" s="18">
        <f t="shared" si="3"/>
        <v>0</v>
      </c>
      <c r="J29" s="19">
        <f t="shared" si="3"/>
        <v>0</v>
      </c>
      <c r="K29" s="19">
        <f t="shared" si="3"/>
        <v>0</v>
      </c>
      <c r="L29" s="19">
        <f t="shared" si="3"/>
        <v>0</v>
      </c>
      <c r="M29" s="19">
        <f t="shared" si="3"/>
        <v>0</v>
      </c>
      <c r="N29" s="19">
        <f t="shared" si="3"/>
        <v>0</v>
      </c>
      <c r="O29" s="19">
        <f t="shared" si="3"/>
        <v>0</v>
      </c>
      <c r="P29" s="19">
        <f t="shared" si="3"/>
        <v>0</v>
      </c>
    </row>
    <row r="30">
      <c r="A30" s="20" t="s">
        <v>28</v>
      </c>
      <c r="B30" s="21">
        <f t="shared" ref="B30:P30" si="4">B2/$B$2</f>
        <v>1</v>
      </c>
      <c r="C30" s="21">
        <f t="shared" si="4"/>
        <v>0</v>
      </c>
      <c r="D30" s="21">
        <f t="shared" si="4"/>
        <v>0</v>
      </c>
      <c r="E30" s="21">
        <f t="shared" si="4"/>
        <v>0</v>
      </c>
      <c r="F30" s="21">
        <f t="shared" si="4"/>
        <v>0</v>
      </c>
      <c r="G30" s="21">
        <f t="shared" si="4"/>
        <v>0</v>
      </c>
      <c r="H30" s="21">
        <f t="shared" si="4"/>
        <v>0</v>
      </c>
      <c r="I30" s="21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2">
        <f t="shared" si="4"/>
        <v>0</v>
      </c>
      <c r="O30" s="22">
        <f t="shared" si="4"/>
        <v>0</v>
      </c>
      <c r="P30" s="22">
        <f t="shared" si="4"/>
        <v>0</v>
      </c>
    </row>
    <row r="31">
      <c r="A31" s="20" t="s">
        <v>29</v>
      </c>
      <c r="B31" s="23">
        <f t="shared" ref="B31:P31" si="5">B18/$B$18</f>
        <v>1</v>
      </c>
      <c r="C31" s="23">
        <f t="shared" si="5"/>
        <v>0</v>
      </c>
      <c r="D31" s="23">
        <f t="shared" si="5"/>
        <v>0</v>
      </c>
      <c r="E31" s="23">
        <f t="shared" si="5"/>
        <v>0</v>
      </c>
      <c r="F31" s="23">
        <f t="shared" si="5"/>
        <v>0</v>
      </c>
      <c r="G31" s="23">
        <f t="shared" si="5"/>
        <v>0</v>
      </c>
      <c r="H31" s="23">
        <f t="shared" si="5"/>
        <v>0</v>
      </c>
      <c r="I31" s="23">
        <f t="shared" si="5"/>
        <v>0</v>
      </c>
      <c r="J31" s="24">
        <f t="shared" si="5"/>
        <v>0</v>
      </c>
      <c r="K31" s="24">
        <f t="shared" si="5"/>
        <v>0</v>
      </c>
      <c r="L31" s="24">
        <f t="shared" si="5"/>
        <v>0</v>
      </c>
      <c r="M31" s="24">
        <f t="shared" si="5"/>
        <v>0</v>
      </c>
      <c r="N31" s="24">
        <f t="shared" si="5"/>
        <v>0</v>
      </c>
      <c r="O31" s="24">
        <f t="shared" si="5"/>
        <v>0</v>
      </c>
      <c r="P31" s="24">
        <f t="shared" si="5"/>
        <v>0</v>
      </c>
    </row>
    <row r="32">
      <c r="A32" s="20" t="s">
        <v>30</v>
      </c>
      <c r="B32" s="23">
        <f t="shared" ref="B32:P32" si="6">B29/$B$29</f>
        <v>1</v>
      </c>
      <c r="C32" s="23">
        <f t="shared" si="6"/>
        <v>0</v>
      </c>
      <c r="D32" s="23">
        <f t="shared" si="6"/>
        <v>0</v>
      </c>
      <c r="E32" s="23">
        <f t="shared" si="6"/>
        <v>0</v>
      </c>
      <c r="F32" s="23">
        <f t="shared" si="6"/>
        <v>0</v>
      </c>
      <c r="G32" s="23">
        <f t="shared" si="6"/>
        <v>0</v>
      </c>
      <c r="H32" s="23">
        <f t="shared" si="6"/>
        <v>0</v>
      </c>
      <c r="I32" s="23">
        <f t="shared" si="6"/>
        <v>0</v>
      </c>
      <c r="J32" s="24">
        <f t="shared" si="6"/>
        <v>0</v>
      </c>
      <c r="K32" s="24">
        <f t="shared" si="6"/>
        <v>0</v>
      </c>
      <c r="L32" s="24">
        <f t="shared" si="6"/>
        <v>0</v>
      </c>
      <c r="M32" s="24">
        <f t="shared" si="6"/>
        <v>0</v>
      </c>
      <c r="N32" s="24">
        <f t="shared" si="6"/>
        <v>0</v>
      </c>
      <c r="O32" s="24">
        <f t="shared" si="6"/>
        <v>0</v>
      </c>
      <c r="P32" s="24">
        <f t="shared" si="6"/>
        <v>0</v>
      </c>
    </row>
    <row r="33">
      <c r="A33" s="20" t="s">
        <v>31</v>
      </c>
      <c r="B33" s="20">
        <f t="shared" ref="B33:P33" si="7">VLOOKUP(B32,$A$38:$C$42,3,TRUE)</f>
        <v>5</v>
      </c>
      <c r="C33" s="20">
        <f t="shared" si="7"/>
        <v>1</v>
      </c>
      <c r="D33" s="20">
        <f t="shared" si="7"/>
        <v>1</v>
      </c>
      <c r="E33" s="20">
        <f t="shared" si="7"/>
        <v>1</v>
      </c>
      <c r="F33" s="20">
        <f t="shared" si="7"/>
        <v>1</v>
      </c>
      <c r="G33" s="20">
        <f t="shared" si="7"/>
        <v>1</v>
      </c>
      <c r="H33" s="20">
        <f t="shared" si="7"/>
        <v>1</v>
      </c>
      <c r="I33" s="20">
        <f t="shared" si="7"/>
        <v>1</v>
      </c>
      <c r="J33" s="25">
        <f t="shared" si="7"/>
        <v>1</v>
      </c>
      <c r="K33" s="25">
        <f t="shared" si="7"/>
        <v>1</v>
      </c>
      <c r="L33" s="25">
        <f t="shared" si="7"/>
        <v>1</v>
      </c>
      <c r="M33" s="25">
        <f t="shared" si="7"/>
        <v>1</v>
      </c>
      <c r="N33" s="25">
        <f t="shared" si="7"/>
        <v>1</v>
      </c>
      <c r="O33" s="25">
        <f t="shared" si="7"/>
        <v>1</v>
      </c>
      <c r="P33" s="25">
        <f t="shared" si="7"/>
        <v>1</v>
      </c>
    </row>
    <row r="34"/>
    <row r="35"/>
    <row r="36"/>
    <row r="37">
      <c r="A37" s="26" t="s">
        <v>32</v>
      </c>
    </row>
    <row r="38">
      <c r="A38" s="27">
        <v>0.0</v>
      </c>
      <c r="B38" s="12">
        <f t="shared" ref="B38:B42" si="8">25*A38</f>
        <v>0</v>
      </c>
      <c r="C38" s="11">
        <v>1.0</v>
      </c>
    </row>
    <row r="39">
      <c r="A39" s="27">
        <v>0.4</v>
      </c>
      <c r="B39" s="12">
        <f t="shared" si="8"/>
        <v>10</v>
      </c>
      <c r="C39" s="11">
        <v>2.0</v>
      </c>
    </row>
    <row r="40">
      <c r="A40" s="27">
        <v>0.5</v>
      </c>
      <c r="B40" s="12">
        <f t="shared" si="8"/>
        <v>12.5</v>
      </c>
      <c r="C40" s="11">
        <v>3.0</v>
      </c>
    </row>
    <row r="41">
      <c r="A41" s="27">
        <v>0.6</v>
      </c>
      <c r="B41" s="12">
        <f t="shared" si="8"/>
        <v>15</v>
      </c>
      <c r="C41" s="11">
        <v>4.0</v>
      </c>
    </row>
    <row r="42">
      <c r="A42" s="27">
        <v>0.8</v>
      </c>
      <c r="B42" s="12">
        <f t="shared" si="8"/>
        <v>20</v>
      </c>
      <c r="C42" s="11">
        <v>5.0</v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